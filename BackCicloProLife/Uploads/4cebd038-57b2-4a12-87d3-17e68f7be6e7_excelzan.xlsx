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de.cetafaju\Downloads\"/>
    </mc:Choice>
  </mc:AlternateContent>
  <xr:revisionPtr revIDLastSave="0" documentId="8_{2D194E97-3EB8-47A9-B055-55C66F749E2F}" xr6:coauthVersionLast="47" xr6:coauthVersionMax="47" xr10:uidLastSave="{00000000-0000-0000-0000-000000000000}"/>
  <bookViews>
    <workbookView xWindow="-120" yWindow="-120" windowWidth="29040" windowHeight="15720" xr2:uid="{96BC0C0B-2697-4272-B7BE-8D4F22521C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9" i="1" l="1"/>
  <c r="H68" i="1"/>
  <c r="H67" i="1"/>
  <c r="H66" i="1"/>
  <c r="H65" i="1"/>
  <c r="M63" i="1"/>
  <c r="M62" i="1"/>
  <c r="M47" i="1"/>
  <c r="M46" i="1"/>
  <c r="M31" i="1"/>
  <c r="M30" i="1"/>
  <c r="P19" i="1"/>
  <c r="H19" i="1"/>
</calcChain>
</file>

<file path=xl/sharedStrings.xml><?xml version="1.0" encoding="utf-8"?>
<sst xmlns="http://schemas.openxmlformats.org/spreadsheetml/2006/main" count="112" uniqueCount="73">
  <si>
    <t>Planilha de Organização Financeira</t>
  </si>
  <si>
    <t>Mês</t>
  </si>
  <si>
    <t>Dia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</si>
  <si>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</si>
  <si>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</si>
  <si>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</si>
  <si>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</si>
  <si>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</si>
  <si>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</si>
  <si>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</si>
  <si>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</si>
  <si>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</si>
  <si>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</si>
  <si>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</si>
  <si>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</si>
  <si>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</si>
  <si>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Valor</t>
  </si>
  <si>
    <t>Categoria</t>
  </si>
  <si>
    <t>Habitação</t>
  </si>
  <si>
    <t>Poupança</t>
  </si>
  <si>
    <t>Transporte</t>
  </si>
  <si>
    <t>Alimentação</t>
  </si>
  <si>
    <t>Imposto</t>
  </si>
  <si>
    <t>Despesas</t>
  </si>
  <si>
    <t>Cartões</t>
  </si>
  <si>
    <t>Saúde</t>
  </si>
  <si>
    <t xml:space="preserve">Categoria </t>
  </si>
  <si>
    <t>% sobre Receita</t>
  </si>
  <si>
    <t>Total despesas fixas</t>
  </si>
  <si>
    <t>Total despesa variáveis</t>
  </si>
  <si>
    <t>% sobre receita</t>
  </si>
  <si>
    <t>Saldo Final</t>
  </si>
  <si>
    <t>Total despesas extras</t>
  </si>
  <si>
    <t>Manutenção/ prevenção</t>
  </si>
  <si>
    <t>Educação</t>
  </si>
  <si>
    <t>Lazer</t>
  </si>
  <si>
    <t>Vestuário</t>
  </si>
  <si>
    <t>Outros</t>
  </si>
  <si>
    <t>Saldo</t>
  </si>
  <si>
    <t>Receita</t>
  </si>
  <si>
    <t>Despesas fixas</t>
  </si>
  <si>
    <t>Despesas variáveis</t>
  </si>
  <si>
    <t>Despesas extras</t>
  </si>
  <si>
    <t>Pets</t>
  </si>
  <si>
    <t>Acessórios</t>
  </si>
  <si>
    <t>Calçados</t>
  </si>
  <si>
    <t>Roupas</t>
  </si>
  <si>
    <t>Restaurantes/bares</t>
  </si>
  <si>
    <t>Cinema/teatro</t>
  </si>
  <si>
    <t>Viagens</t>
  </si>
  <si>
    <t>Unifrome</t>
  </si>
  <si>
    <t>Faculdade</t>
  </si>
  <si>
    <t>Carro</t>
  </si>
  <si>
    <t>Medicamentos</t>
  </si>
  <si>
    <t>Frete</t>
  </si>
  <si>
    <t>Estacionamento</t>
  </si>
  <si>
    <t>Uber</t>
  </si>
  <si>
    <t>Internet</t>
  </si>
  <si>
    <t>Água</t>
  </si>
  <si>
    <t>Luz</t>
  </si>
  <si>
    <t>Licenciamento</t>
  </si>
  <si>
    <t>Padaria</t>
  </si>
  <si>
    <t>Feira</t>
  </si>
  <si>
    <t>Supermercado</t>
  </si>
  <si>
    <t>Gasolina</t>
  </si>
  <si>
    <t>Aluguel</t>
  </si>
  <si>
    <t>Despesas Fixas</t>
  </si>
  <si>
    <t>Despesas Variáveis</t>
  </si>
  <si>
    <t>Extras</t>
  </si>
  <si>
    <t>Fontes</t>
  </si>
  <si>
    <t>Salário</t>
  </si>
  <si>
    <t>Doces</t>
  </si>
  <si>
    <t>Costura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</si>
</sst>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/>
    <xf numFmtId="0" fontId="0" fillId="4" borderId="10" xfId="0" applyFill="1" applyBorder="1"/>
    <xf numFmtId="0" fontId="0" fillId="5" borderId="10" xfId="0" applyFill="1" applyBorder="1"/>
    <xf numFmtId="0" fontId="0" fillId="4" borderId="1" xfId="0" applyFill="1" applyBorder="1"/>
    <xf numFmtId="0" fontId="4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4" xfId="0" applyFont="1" applyFill="1" applyBorder="1" applyAlignment="1">
      <alignment horizontal="center" vertical="center" textRotation="90"/>
    </xf>
    <xf numFmtId="0" fontId="5" fillId="3" borderId="15" xfId="0" applyFont="1" applyFill="1" applyBorder="1" applyAlignment="1">
      <alignment horizontal="center" vertical="center" textRotation="90"/>
    </xf>
    <xf numFmtId="0" fontId="6" fillId="7" borderId="13" xfId="0" applyFont="1" applyFill="1" applyBorder="1" applyAlignment="1">
      <alignment horizontal="center" vertical="center" textRotation="90"/>
    </xf>
    <xf numFmtId="0" fontId="6" fillId="7" borderId="14" xfId="0" applyFont="1" applyFill="1" applyBorder="1" applyAlignment="1">
      <alignment horizontal="center" vertical="center" textRotation="90"/>
    </xf>
    <xf numFmtId="0" fontId="6" fillId="7" borderId="15" xfId="0" applyFont="1" applyFill="1" applyBorder="1" applyAlignment="1">
      <alignment horizontal="center" vertical="center" textRotation="90"/>
    </xf>
    <xf numFmtId="0" fontId="6" fillId="8" borderId="13" xfId="0" applyFont="1" applyFill="1" applyBorder="1" applyAlignment="1">
      <alignment horizontal="center" vertical="center" textRotation="90"/>
    </xf>
    <xf numFmtId="0" fontId="6" fillId="8" borderId="14" xfId="0" applyFont="1" applyFill="1" applyBorder="1" applyAlignment="1">
      <alignment horizontal="center" vertical="center" textRotation="90"/>
    </xf>
    <xf numFmtId="0" fontId="6" fillId="8" borderId="15" xfId="0" applyFont="1" applyFill="1" applyBorder="1" applyAlignment="1">
      <alignment horizontal="center" vertical="center" textRotation="90"/>
    </xf>
    <xf numFmtId="0" fontId="6" fillId="11" borderId="13" xfId="0" applyFont="1" applyFill="1" applyBorder="1" applyAlignment="1">
      <alignment horizontal="center" vertical="center" textRotation="90"/>
    </xf>
    <xf numFmtId="0" fontId="6" fillId="11" borderId="14" xfId="0" applyFont="1" applyFill="1" applyBorder="1" applyAlignment="1">
      <alignment horizontal="center" vertical="center" textRotation="90"/>
    </xf>
    <xf numFmtId="0" fontId="6" fillId="11" borderId="15" xfId="0" applyFont="1" applyFill="1" applyBorder="1" applyAlignment="1">
      <alignment horizontal="center" vertical="center" textRotation="90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13" borderId="10" xfId="0" applyFont="1" applyFill="1" applyBorder="1" applyAlignment="1">
      <alignment horizontal="center"/>
    </xf>
    <xf numFmtId="0" fontId="7" fillId="13" borderId="12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44" fontId="0" fillId="0" borderId="10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0" fillId="0" borderId="1" xfId="1" applyFont="1" applyBorder="1"/>
    <xf numFmtId="44" fontId="0" fillId="5" borderId="11" xfId="1" applyFont="1" applyFill="1" applyBorder="1"/>
    <xf numFmtId="9" fontId="0" fillId="4" borderId="11" xfId="2" applyFont="1" applyFill="1" applyBorder="1"/>
    <xf numFmtId="9" fontId="0" fillId="5" borderId="11" xfId="2" applyFont="1" applyFill="1" applyBorder="1"/>
    <xf numFmtId="44" fontId="9" fillId="4" borderId="1" xfId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CCFF"/>
      <color rgb="FFFF99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23FF-11A0-4876-A64C-B10CBE950DF7}">
  <dimension ref="A2:S69"/>
  <sheetViews>
    <sheetView showGridLines="0" tabSelected="1" topLeftCell="A43" workbookViewId="0">
      <selection activeCell="H69" sqref="H69"/>
    </sheetView>
  </sheetViews>
  <sheetFormatPr defaultRowHeight="15" x14ac:dyDescent="0.25"/>
  <cols>
    <col min="8" max="8" width="16.85546875" bestFit="1" customWidth="1"/>
    <col min="13" max="13" width="10.5703125" bestFit="1" customWidth="1"/>
    <col min="16" max="16" width="12" customWidth="1"/>
  </cols>
  <sheetData>
    <row r="2" spans="1:19" x14ac:dyDescent="0.25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</row>
    <row r="3" spans="1:19" x14ac:dyDescent="0.25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2"/>
    </row>
    <row r="4" spans="1:19" x14ac:dyDescent="0.2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</row>
    <row r="5" spans="1:19" x14ac:dyDescent="0.25">
      <c r="B5" s="8"/>
      <c r="C5" s="28" t="s">
        <v>1</v>
      </c>
      <c r="D5" s="28"/>
      <c r="E5" s="28"/>
      <c r="F5" s="9"/>
      <c r="G5" s="9"/>
      <c r="H5" s="29" t="s">
        <v>4</v>
      </c>
      <c r="I5" s="29" t="s">
        <v>5</v>
      </c>
      <c r="J5" s="29" t="s">
        <v>6</v>
      </c>
      <c r="K5" s="29" t="s">
        <v>7</v>
      </c>
      <c r="L5" s="29" t="s">
        <v>8</v>
      </c>
      <c r="M5" s="29" t="s">
        <v>9</v>
      </c>
      <c r="N5" s="29" t="s">
        <v>10</v>
      </c>
      <c r="O5" s="29" t="s">
        <v>11</v>
      </c>
      <c r="P5" s="29" t="s">
        <v>12</v>
      </c>
      <c r="Q5" s="29" t="s">
        <v>13</v>
      </c>
      <c r="R5" s="29" t="s">
        <v>14</v>
      </c>
      <c r="S5" s="30" t="s">
        <v>15</v>
      </c>
    </row>
    <row r="6" spans="1:19" x14ac:dyDescent="0.25">
      <c r="B6" s="12"/>
      <c r="C6" s="27" t="s">
        <v>2</v>
      </c>
      <c r="D6" s="27"/>
      <c r="E6" s="27"/>
      <c r="F6" s="26" t="s">
        <v>69</v>
      </c>
      <c r="G6" s="26"/>
      <c r="H6" s="31" t="s">
        <v>16</v>
      </c>
      <c r="I6" s="31" t="s">
        <v>16</v>
      </c>
      <c r="J6" s="31" t="s">
        <v>16</v>
      </c>
      <c r="K6" s="31" t="s">
        <v>16</v>
      </c>
      <c r="L6" s="31" t="s">
        <v>16</v>
      </c>
      <c r="M6" s="31" t="s">
        <v>16</v>
      </c>
      <c r="N6" s="31" t="s">
        <v>16</v>
      </c>
      <c r="O6" s="31" t="s">
        <v>16</v>
      </c>
      <c r="P6" s="31" t="s">
        <v>16</v>
      </c>
      <c r="Q6" s="31" t="s">
        <v>16</v>
      </c>
      <c r="R6" s="31" t="s">
        <v>16</v>
      </c>
      <c r="S6" s="31" t="s">
        <v>16</v>
      </c>
    </row>
    <row r="7" spans="1:19" x14ac:dyDescent="0.25">
      <c r="B7" s="78" t="s">
        <v>39</v>
      </c>
      <c r="C7" s="5">
        <v>18</v>
      </c>
      <c r="D7" s="6"/>
      <c r="E7" s="7"/>
      <c r="F7" s="98" t="s">
        <v>70</v>
      </c>
      <c r="G7" s="99"/>
      <c r="H7" s="100">
        <v>1500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  <c r="P7" s="100">
        <v>654</v>
      </c>
      <c r="Q7" s="100">
        <v>0</v>
      </c>
      <c r="R7" s="100">
        <v>0</v>
      </c>
      <c r="S7" s="100">
        <v>0</v>
      </c>
    </row>
    <row r="8" spans="1:19" x14ac:dyDescent="0.25">
      <c r="B8" s="79"/>
      <c r="C8" s="5">
        <v>19</v>
      </c>
      <c r="D8" s="6"/>
      <c r="E8" s="7"/>
      <c r="F8" s="98" t="s">
        <v>71</v>
      </c>
      <c r="G8" s="99"/>
      <c r="H8" s="100">
        <v>500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  <c r="P8" s="100">
        <v>545</v>
      </c>
      <c r="Q8" s="100">
        <v>0</v>
      </c>
      <c r="R8" s="100">
        <v>0</v>
      </c>
      <c r="S8" s="100">
        <v>0</v>
      </c>
    </row>
    <row r="9" spans="1:19" x14ac:dyDescent="0.25">
      <c r="B9" s="79"/>
      <c r="C9" s="5">
        <v>20</v>
      </c>
      <c r="D9" s="6"/>
      <c r="E9" s="7"/>
      <c r="F9" s="2" t="s">
        <v>72</v>
      </c>
      <c r="G9" s="3"/>
      <c r="H9" s="100">
        <v>200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  <c r="P9" s="100">
        <v>0</v>
      </c>
      <c r="Q9" s="100">
        <v>0</v>
      </c>
      <c r="R9" s="100">
        <v>0</v>
      </c>
      <c r="S9" s="100">
        <v>0</v>
      </c>
    </row>
    <row r="10" spans="1:19" x14ac:dyDescent="0.25">
      <c r="B10" s="79"/>
      <c r="C10" s="5"/>
      <c r="D10" s="6"/>
      <c r="E10" s="7"/>
      <c r="F10" s="2"/>
      <c r="G10" s="3"/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  <c r="P10" s="100">
        <v>0</v>
      </c>
      <c r="Q10" s="100">
        <v>0</v>
      </c>
      <c r="R10" s="100">
        <v>0</v>
      </c>
      <c r="S10" s="100">
        <v>0</v>
      </c>
    </row>
    <row r="11" spans="1:19" x14ac:dyDescent="0.25">
      <c r="B11" s="79"/>
      <c r="C11" s="5"/>
      <c r="D11" s="6"/>
      <c r="E11" s="7"/>
      <c r="F11" s="2"/>
      <c r="G11" s="3"/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  <c r="P11" s="100">
        <v>0</v>
      </c>
      <c r="Q11" s="100">
        <v>0</v>
      </c>
      <c r="R11" s="100">
        <v>0</v>
      </c>
      <c r="S11" s="100">
        <v>0</v>
      </c>
    </row>
    <row r="12" spans="1:19" x14ac:dyDescent="0.25">
      <c r="B12" s="79"/>
      <c r="C12" s="5"/>
      <c r="D12" s="6"/>
      <c r="E12" s="7"/>
      <c r="F12" s="2"/>
      <c r="G12" s="3"/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  <c r="P12" s="100">
        <v>0</v>
      </c>
      <c r="Q12" s="100">
        <v>0</v>
      </c>
      <c r="R12" s="100">
        <v>0</v>
      </c>
      <c r="S12" s="100">
        <v>0</v>
      </c>
    </row>
    <row r="13" spans="1:19" x14ac:dyDescent="0.25">
      <c r="A13" s="4"/>
      <c r="B13" s="79"/>
      <c r="C13" s="5"/>
      <c r="D13" s="6"/>
      <c r="E13" s="7"/>
      <c r="F13" s="2"/>
      <c r="G13" s="3"/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  <c r="P13" s="100">
        <v>0</v>
      </c>
      <c r="Q13" s="100">
        <v>0</v>
      </c>
      <c r="R13" s="100">
        <v>0</v>
      </c>
      <c r="S13" s="100">
        <v>0</v>
      </c>
    </row>
    <row r="14" spans="1:19" x14ac:dyDescent="0.25">
      <c r="B14" s="79"/>
      <c r="C14" s="5"/>
      <c r="D14" s="6"/>
      <c r="E14" s="7"/>
      <c r="F14" s="2"/>
      <c r="G14" s="3"/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  <c r="P14" s="100">
        <v>0</v>
      </c>
      <c r="Q14" s="100">
        <v>0</v>
      </c>
      <c r="R14" s="100">
        <v>0</v>
      </c>
      <c r="S14" s="100">
        <v>0</v>
      </c>
    </row>
    <row r="15" spans="1:19" x14ac:dyDescent="0.25">
      <c r="B15" s="79"/>
      <c r="C15" s="5"/>
      <c r="D15" s="6"/>
      <c r="E15" s="7"/>
      <c r="F15" s="2"/>
      <c r="G15" s="3"/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  <c r="P15" s="100">
        <v>0</v>
      </c>
      <c r="Q15" s="100">
        <v>0</v>
      </c>
      <c r="R15" s="100">
        <v>0</v>
      </c>
      <c r="S15" s="100">
        <v>0</v>
      </c>
    </row>
    <row r="16" spans="1:19" x14ac:dyDescent="0.25">
      <c r="B16" s="79"/>
      <c r="C16" s="5"/>
      <c r="D16" s="6"/>
      <c r="E16" s="7"/>
      <c r="F16" s="2"/>
      <c r="G16" s="3"/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  <c r="P16" s="100">
        <v>0</v>
      </c>
      <c r="Q16" s="100">
        <v>0</v>
      </c>
      <c r="R16" s="100">
        <v>0</v>
      </c>
      <c r="S16" s="100">
        <v>0</v>
      </c>
    </row>
    <row r="17" spans="2:19" x14ac:dyDescent="0.25">
      <c r="B17" s="79"/>
      <c r="C17" s="5"/>
      <c r="D17" s="6"/>
      <c r="E17" s="7"/>
      <c r="F17" s="2"/>
      <c r="G17" s="3"/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100">
        <v>0</v>
      </c>
      <c r="N17" s="100">
        <v>0</v>
      </c>
      <c r="O17" s="100">
        <v>0</v>
      </c>
      <c r="P17" s="100">
        <v>0</v>
      </c>
      <c r="Q17" s="100">
        <v>0</v>
      </c>
      <c r="R17" s="100">
        <v>0</v>
      </c>
      <c r="S17" s="100">
        <v>0</v>
      </c>
    </row>
    <row r="18" spans="2:19" x14ac:dyDescent="0.25">
      <c r="B18" s="80"/>
      <c r="C18" s="5"/>
      <c r="D18" s="6"/>
      <c r="E18" s="7"/>
      <c r="F18" s="2"/>
      <c r="G18" s="3"/>
      <c r="H18" s="100">
        <v>0</v>
      </c>
      <c r="I18" s="100">
        <v>0</v>
      </c>
      <c r="J18" s="100">
        <v>0</v>
      </c>
      <c r="K18" s="100">
        <v>0</v>
      </c>
      <c r="L18" s="100">
        <v>0</v>
      </c>
      <c r="M18" s="100">
        <v>0</v>
      </c>
      <c r="N18" s="100">
        <v>0</v>
      </c>
      <c r="O18" s="100">
        <v>0</v>
      </c>
      <c r="P18" s="100">
        <v>0</v>
      </c>
      <c r="Q18" s="100">
        <v>0</v>
      </c>
      <c r="R18" s="100">
        <v>0</v>
      </c>
      <c r="S18" s="100">
        <v>0</v>
      </c>
    </row>
    <row r="19" spans="2:19" x14ac:dyDescent="0.25">
      <c r="B19" s="12"/>
      <c r="C19" s="27" t="s">
        <v>3</v>
      </c>
      <c r="D19" s="27"/>
      <c r="E19" s="27"/>
      <c r="F19" s="11"/>
      <c r="G19" s="11"/>
      <c r="H19" s="101">
        <f>SUM(H7:H18)</f>
        <v>2200</v>
      </c>
      <c r="I19" s="13"/>
      <c r="J19" s="13"/>
      <c r="K19" s="13"/>
      <c r="L19" s="13"/>
      <c r="M19" s="13"/>
      <c r="N19" s="13"/>
      <c r="O19" s="13"/>
      <c r="P19" s="101">
        <f>SUM(P7:P18)</f>
        <v>1199</v>
      </c>
      <c r="Q19" s="13"/>
      <c r="R19" s="13"/>
      <c r="S19" s="13"/>
    </row>
    <row r="21" spans="2:19" x14ac:dyDescent="0.25">
      <c r="B21" s="14"/>
      <c r="C21" s="32" t="s">
        <v>17</v>
      </c>
      <c r="D21" s="32"/>
      <c r="E21" s="32"/>
      <c r="F21" s="32" t="s">
        <v>23</v>
      </c>
      <c r="G21" s="32"/>
      <c r="H21" s="10"/>
      <c r="I21" s="10"/>
      <c r="J21" s="10"/>
      <c r="K21" s="10"/>
      <c r="L21" s="10"/>
      <c r="M21" s="29" t="s">
        <v>16</v>
      </c>
      <c r="N21" s="29" t="s">
        <v>16</v>
      </c>
      <c r="O21" s="29" t="s">
        <v>16</v>
      </c>
      <c r="P21" s="29" t="s">
        <v>16</v>
      </c>
      <c r="Q21" s="29" t="s">
        <v>16</v>
      </c>
      <c r="R21" s="29" t="s">
        <v>16</v>
      </c>
      <c r="S21" s="29" t="s">
        <v>16</v>
      </c>
    </row>
    <row r="22" spans="2:19" x14ac:dyDescent="0.25">
      <c r="B22" s="81" t="s">
        <v>66</v>
      </c>
      <c r="C22" s="33" t="s">
        <v>18</v>
      </c>
      <c r="D22" s="34"/>
      <c r="E22" s="35"/>
      <c r="F22" s="90" t="s">
        <v>65</v>
      </c>
      <c r="G22" s="91"/>
      <c r="H22" s="100"/>
      <c r="I22" s="1"/>
      <c r="J22" s="1"/>
      <c r="K22" s="1"/>
      <c r="L22" s="1"/>
      <c r="M22" s="100">
        <v>500</v>
      </c>
      <c r="N22" s="100">
        <v>0</v>
      </c>
      <c r="O22" s="100">
        <v>0</v>
      </c>
      <c r="P22" s="100">
        <v>0</v>
      </c>
      <c r="Q22" s="100">
        <v>0</v>
      </c>
      <c r="R22" s="100">
        <v>0</v>
      </c>
      <c r="S22" s="100">
        <v>0</v>
      </c>
    </row>
    <row r="23" spans="2:19" x14ac:dyDescent="0.25">
      <c r="B23" s="82"/>
      <c r="C23" s="33" t="s">
        <v>19</v>
      </c>
      <c r="D23" s="34"/>
      <c r="E23" s="35"/>
      <c r="F23" s="2"/>
      <c r="G23" s="3"/>
      <c r="H23" s="100"/>
      <c r="I23" s="1"/>
      <c r="J23" s="1"/>
      <c r="K23" s="1"/>
      <c r="L23" s="1"/>
      <c r="M23" s="100">
        <v>0</v>
      </c>
      <c r="N23" s="100">
        <v>0</v>
      </c>
      <c r="O23" s="100">
        <v>0</v>
      </c>
      <c r="P23" s="100">
        <v>0</v>
      </c>
      <c r="Q23" s="100">
        <v>0</v>
      </c>
      <c r="R23" s="100">
        <v>0</v>
      </c>
      <c r="S23" s="100">
        <v>0</v>
      </c>
    </row>
    <row r="24" spans="2:19" x14ac:dyDescent="0.25">
      <c r="B24" s="82"/>
      <c r="C24" s="33" t="s">
        <v>20</v>
      </c>
      <c r="D24" s="34"/>
      <c r="E24" s="35"/>
      <c r="F24" s="90" t="s">
        <v>64</v>
      </c>
      <c r="G24" s="91"/>
      <c r="H24" s="1"/>
      <c r="I24" s="1"/>
      <c r="J24" s="1"/>
      <c r="K24" s="1"/>
      <c r="L24" s="1"/>
      <c r="M24" s="100">
        <v>50</v>
      </c>
      <c r="N24" s="100">
        <v>0</v>
      </c>
      <c r="O24" s="100">
        <v>0</v>
      </c>
      <c r="P24" s="100">
        <v>0</v>
      </c>
      <c r="Q24" s="100">
        <v>0</v>
      </c>
      <c r="R24" s="100">
        <v>0</v>
      </c>
      <c r="S24" s="100">
        <v>0</v>
      </c>
    </row>
    <row r="25" spans="2:19" x14ac:dyDescent="0.25">
      <c r="B25" s="82"/>
      <c r="C25" s="36" t="s">
        <v>21</v>
      </c>
      <c r="D25" s="37"/>
      <c r="E25" s="38"/>
      <c r="F25" s="90" t="s">
        <v>63</v>
      </c>
      <c r="G25" s="91"/>
      <c r="H25" s="1"/>
      <c r="I25" s="1"/>
      <c r="J25" s="1"/>
      <c r="K25" s="1"/>
      <c r="L25" s="1"/>
      <c r="M25" s="100">
        <v>75</v>
      </c>
      <c r="N25" s="100">
        <v>0</v>
      </c>
      <c r="O25" s="100">
        <v>0</v>
      </c>
      <c r="P25" s="100">
        <v>0</v>
      </c>
      <c r="Q25" s="100">
        <v>0</v>
      </c>
      <c r="R25" s="100">
        <v>0</v>
      </c>
      <c r="S25" s="100">
        <v>0</v>
      </c>
    </row>
    <row r="26" spans="2:19" x14ac:dyDescent="0.25">
      <c r="B26" s="82"/>
      <c r="C26" s="39"/>
      <c r="D26" s="40"/>
      <c r="E26" s="41"/>
      <c r="F26" s="90" t="s">
        <v>62</v>
      </c>
      <c r="G26" s="91"/>
      <c r="H26" s="1"/>
      <c r="I26" s="1"/>
      <c r="J26" s="1"/>
      <c r="K26" s="1"/>
      <c r="L26" s="1"/>
      <c r="M26" s="100">
        <v>0</v>
      </c>
      <c r="N26" s="100">
        <v>0</v>
      </c>
      <c r="O26" s="100">
        <v>0</v>
      </c>
      <c r="P26" s="100">
        <v>0</v>
      </c>
      <c r="Q26" s="100">
        <v>0</v>
      </c>
      <c r="R26" s="100">
        <v>0</v>
      </c>
      <c r="S26" s="100">
        <v>0</v>
      </c>
    </row>
    <row r="27" spans="2:19" x14ac:dyDescent="0.25">
      <c r="B27" s="82"/>
      <c r="C27" s="42"/>
      <c r="D27" s="43"/>
      <c r="E27" s="44"/>
      <c r="F27" s="90" t="s">
        <v>61</v>
      </c>
      <c r="G27" s="91"/>
      <c r="H27" s="1"/>
      <c r="I27" s="1"/>
      <c r="J27" s="1"/>
      <c r="K27" s="1"/>
      <c r="L27" s="1"/>
      <c r="M27" s="100">
        <v>0</v>
      </c>
      <c r="N27" s="100">
        <v>0</v>
      </c>
      <c r="O27" s="100">
        <v>0</v>
      </c>
      <c r="P27" s="100">
        <v>0</v>
      </c>
      <c r="Q27" s="100">
        <v>0</v>
      </c>
      <c r="R27" s="100">
        <v>0</v>
      </c>
      <c r="S27" s="100">
        <v>0</v>
      </c>
    </row>
    <row r="28" spans="2:19" x14ac:dyDescent="0.25">
      <c r="B28" s="82"/>
      <c r="C28" s="36" t="s">
        <v>22</v>
      </c>
      <c r="D28" s="37"/>
      <c r="E28" s="38"/>
      <c r="F28" s="90"/>
      <c r="G28" s="91"/>
      <c r="H28" s="1"/>
      <c r="I28" s="1"/>
      <c r="J28" s="1"/>
      <c r="K28" s="1"/>
      <c r="L28" s="1"/>
      <c r="M28" s="100">
        <v>0</v>
      </c>
      <c r="N28" s="100">
        <v>0</v>
      </c>
      <c r="O28" s="100">
        <v>0</v>
      </c>
      <c r="P28" s="100">
        <v>0</v>
      </c>
      <c r="Q28" s="100">
        <v>0</v>
      </c>
      <c r="R28" s="100">
        <v>0</v>
      </c>
      <c r="S28" s="100">
        <v>0</v>
      </c>
    </row>
    <row r="29" spans="2:19" x14ac:dyDescent="0.25">
      <c r="B29" s="83"/>
      <c r="C29" s="42"/>
      <c r="D29" s="43"/>
      <c r="E29" s="44"/>
      <c r="F29" s="90" t="s">
        <v>60</v>
      </c>
      <c r="G29" s="91"/>
      <c r="H29" s="1"/>
      <c r="I29" s="1"/>
      <c r="J29" s="1"/>
      <c r="K29" s="1"/>
      <c r="L29" s="1"/>
      <c r="M29" s="100">
        <v>0</v>
      </c>
      <c r="N29" s="100">
        <v>0</v>
      </c>
      <c r="O29" s="100">
        <v>0</v>
      </c>
      <c r="P29" s="100">
        <v>0</v>
      </c>
      <c r="Q29" s="100">
        <v>0</v>
      </c>
      <c r="R29" s="100">
        <v>0</v>
      </c>
      <c r="S29" s="100">
        <v>0</v>
      </c>
    </row>
    <row r="30" spans="2:19" x14ac:dyDescent="0.25">
      <c r="B30" s="15"/>
      <c r="C30" s="26" t="s">
        <v>28</v>
      </c>
      <c r="D30" s="26"/>
      <c r="E30" s="26"/>
      <c r="F30" s="11"/>
      <c r="G30" s="11"/>
      <c r="H30" s="13"/>
      <c r="I30" s="13"/>
      <c r="J30" s="13"/>
      <c r="K30" s="13"/>
      <c r="L30" s="13"/>
      <c r="M30" s="101">
        <f>SUM(M22:M29)</f>
        <v>625</v>
      </c>
      <c r="N30" s="13"/>
      <c r="O30" s="13"/>
      <c r="P30" s="13"/>
      <c r="Q30" s="13"/>
      <c r="R30" s="13"/>
      <c r="S30" s="13"/>
    </row>
    <row r="31" spans="2:19" x14ac:dyDescent="0.25">
      <c r="B31" s="14"/>
      <c r="C31" s="32" t="s">
        <v>27</v>
      </c>
      <c r="D31" s="32"/>
      <c r="E31" s="32"/>
      <c r="F31" s="9"/>
      <c r="G31" s="9"/>
      <c r="H31" s="10"/>
      <c r="I31" s="10"/>
      <c r="J31" s="10"/>
      <c r="K31" s="10"/>
      <c r="L31" s="10"/>
      <c r="M31" s="102">
        <f>M30/H19</f>
        <v>0.28409090909090912</v>
      </c>
      <c r="N31" s="10"/>
      <c r="O31" s="10"/>
      <c r="P31" s="10"/>
      <c r="Q31" s="10"/>
      <c r="R31" s="10"/>
      <c r="S31" s="10"/>
    </row>
    <row r="33" spans="2:19" x14ac:dyDescent="0.25">
      <c r="B33" s="14"/>
      <c r="C33" s="32" t="s">
        <v>26</v>
      </c>
      <c r="D33" s="32"/>
      <c r="E33" s="32"/>
      <c r="F33" s="32" t="s">
        <v>23</v>
      </c>
      <c r="G33" s="32"/>
      <c r="H33" s="10"/>
      <c r="I33" s="10"/>
      <c r="J33" s="10"/>
      <c r="K33" s="10"/>
      <c r="L33" s="10"/>
      <c r="M33" s="29" t="s">
        <v>16</v>
      </c>
      <c r="N33" s="29" t="s">
        <v>16</v>
      </c>
      <c r="O33" s="29" t="s">
        <v>16</v>
      </c>
      <c r="P33" s="29" t="s">
        <v>16</v>
      </c>
      <c r="Q33" s="29" t="s">
        <v>16</v>
      </c>
      <c r="R33" s="29" t="s">
        <v>16</v>
      </c>
      <c r="S33" s="29" t="s">
        <v>16</v>
      </c>
    </row>
    <row r="34" spans="2:19" x14ac:dyDescent="0.25">
      <c r="B34" s="84" t="s">
        <v>67</v>
      </c>
      <c r="C34" s="45" t="s">
        <v>18</v>
      </c>
      <c r="D34" s="46"/>
      <c r="E34" s="47"/>
      <c r="F34" s="90" t="s">
        <v>59</v>
      </c>
      <c r="G34" s="91"/>
      <c r="H34" s="1"/>
      <c r="I34" s="1"/>
      <c r="J34" s="1"/>
      <c r="K34" s="1"/>
      <c r="L34" s="1"/>
      <c r="M34" s="100">
        <v>52</v>
      </c>
      <c r="N34" s="100">
        <v>0</v>
      </c>
      <c r="O34" s="100">
        <v>0</v>
      </c>
      <c r="P34" s="100">
        <v>0</v>
      </c>
      <c r="Q34" s="100">
        <v>0</v>
      </c>
      <c r="R34" s="100">
        <v>0</v>
      </c>
      <c r="S34" s="100">
        <v>0</v>
      </c>
    </row>
    <row r="35" spans="2:19" x14ac:dyDescent="0.25">
      <c r="B35" s="85"/>
      <c r="C35" s="48"/>
      <c r="D35" s="49"/>
      <c r="E35" s="50"/>
      <c r="F35" s="90" t="s">
        <v>58</v>
      </c>
      <c r="G35" s="91"/>
      <c r="H35" s="1"/>
      <c r="I35" s="1"/>
      <c r="J35" s="1"/>
      <c r="K35" s="1"/>
      <c r="L35" s="1"/>
      <c r="M35" s="100">
        <v>55</v>
      </c>
      <c r="N35" s="100">
        <v>0</v>
      </c>
      <c r="O35" s="100">
        <v>0</v>
      </c>
      <c r="P35" s="100">
        <v>0</v>
      </c>
      <c r="Q35" s="100">
        <v>0</v>
      </c>
      <c r="R35" s="100">
        <v>0</v>
      </c>
      <c r="S35" s="100">
        <v>0</v>
      </c>
    </row>
    <row r="36" spans="2:19" x14ac:dyDescent="0.25">
      <c r="B36" s="85"/>
      <c r="C36" s="48"/>
      <c r="D36" s="49"/>
      <c r="E36" s="50"/>
      <c r="F36" s="90" t="s">
        <v>57</v>
      </c>
      <c r="G36" s="91"/>
      <c r="H36" s="1"/>
      <c r="I36" s="1"/>
      <c r="J36" s="1"/>
      <c r="K36" s="1"/>
      <c r="L36" s="1"/>
      <c r="M36" s="100">
        <v>20</v>
      </c>
      <c r="N36" s="100">
        <v>0</v>
      </c>
      <c r="O36" s="100">
        <v>0</v>
      </c>
      <c r="P36" s="100">
        <v>0</v>
      </c>
      <c r="Q36" s="100">
        <v>0</v>
      </c>
      <c r="R36" s="100">
        <v>0</v>
      </c>
      <c r="S36" s="100">
        <v>0</v>
      </c>
    </row>
    <row r="37" spans="2:19" x14ac:dyDescent="0.25">
      <c r="B37" s="85"/>
      <c r="C37" s="48"/>
      <c r="D37" s="49"/>
      <c r="E37" s="50"/>
      <c r="F37" s="90"/>
      <c r="G37" s="91"/>
      <c r="H37" s="1"/>
      <c r="I37" s="1"/>
      <c r="J37" s="1"/>
      <c r="K37" s="1"/>
      <c r="L37" s="1"/>
      <c r="M37" s="100">
        <v>0</v>
      </c>
      <c r="N37" s="100">
        <v>0</v>
      </c>
      <c r="O37" s="100">
        <v>0</v>
      </c>
      <c r="P37" s="100">
        <v>0</v>
      </c>
      <c r="Q37" s="100">
        <v>0</v>
      </c>
      <c r="R37" s="100">
        <v>0</v>
      </c>
      <c r="S37" s="100">
        <v>0</v>
      </c>
    </row>
    <row r="38" spans="2:19" x14ac:dyDescent="0.25">
      <c r="B38" s="85"/>
      <c r="C38" s="51"/>
      <c r="D38" s="52"/>
      <c r="E38" s="53"/>
      <c r="F38" s="2"/>
      <c r="G38" s="3"/>
      <c r="H38" s="1"/>
      <c r="I38" s="1"/>
      <c r="J38" s="1"/>
      <c r="K38" s="1"/>
      <c r="L38" s="1"/>
      <c r="M38" s="100">
        <v>0</v>
      </c>
      <c r="N38" s="100">
        <v>0</v>
      </c>
      <c r="O38" s="100">
        <v>0</v>
      </c>
      <c r="P38" s="100">
        <v>0</v>
      </c>
      <c r="Q38" s="100">
        <v>0</v>
      </c>
      <c r="R38" s="100">
        <v>0</v>
      </c>
      <c r="S38" s="100">
        <v>0</v>
      </c>
    </row>
    <row r="39" spans="2:19" x14ac:dyDescent="0.25">
      <c r="B39" s="85"/>
      <c r="C39" s="45" t="s">
        <v>20</v>
      </c>
      <c r="D39" s="46"/>
      <c r="E39" s="47"/>
      <c r="F39" s="90" t="s">
        <v>56</v>
      </c>
      <c r="G39" s="91"/>
      <c r="H39" s="1"/>
      <c r="I39" s="1"/>
      <c r="J39" s="1"/>
      <c r="K39" s="1"/>
      <c r="L39" s="1"/>
      <c r="M39" s="100">
        <v>0</v>
      </c>
      <c r="N39" s="100">
        <v>0</v>
      </c>
      <c r="O39" s="100">
        <v>0</v>
      </c>
      <c r="P39" s="100">
        <v>0</v>
      </c>
      <c r="Q39" s="100">
        <v>0</v>
      </c>
      <c r="R39" s="100">
        <v>0</v>
      </c>
      <c r="S39" s="100">
        <v>0</v>
      </c>
    </row>
    <row r="40" spans="2:19" x14ac:dyDescent="0.25">
      <c r="B40" s="85"/>
      <c r="C40" s="48"/>
      <c r="D40" s="49"/>
      <c r="E40" s="50"/>
      <c r="F40" s="90" t="s">
        <v>55</v>
      </c>
      <c r="G40" s="91"/>
      <c r="H40" s="1"/>
      <c r="I40" s="1"/>
      <c r="J40" s="1"/>
      <c r="K40" s="1"/>
      <c r="L40" s="1"/>
      <c r="M40" s="100">
        <v>0</v>
      </c>
      <c r="N40" s="100">
        <v>0</v>
      </c>
      <c r="O40" s="100">
        <v>0</v>
      </c>
      <c r="P40" s="100">
        <v>0</v>
      </c>
      <c r="Q40" s="100">
        <v>0</v>
      </c>
      <c r="R40" s="100">
        <v>0</v>
      </c>
      <c r="S40" s="100">
        <v>0</v>
      </c>
    </row>
    <row r="41" spans="2:19" x14ac:dyDescent="0.25">
      <c r="B41" s="85"/>
      <c r="C41" s="51"/>
      <c r="D41" s="52"/>
      <c r="E41" s="53"/>
      <c r="F41" s="90" t="s">
        <v>54</v>
      </c>
      <c r="G41" s="91"/>
      <c r="H41" s="1"/>
      <c r="I41" s="1"/>
      <c r="J41" s="1"/>
      <c r="K41" s="1"/>
      <c r="L41" s="1"/>
      <c r="M41" s="100">
        <v>0</v>
      </c>
      <c r="N41" s="100">
        <v>0</v>
      </c>
      <c r="O41" s="100">
        <v>0</v>
      </c>
      <c r="P41" s="100">
        <v>0</v>
      </c>
      <c r="Q41" s="100">
        <v>0</v>
      </c>
      <c r="R41" s="100">
        <v>0</v>
      </c>
      <c r="S41" s="100">
        <v>0</v>
      </c>
    </row>
    <row r="42" spans="2:19" x14ac:dyDescent="0.25">
      <c r="B42" s="85"/>
      <c r="C42" s="45" t="s">
        <v>24</v>
      </c>
      <c r="D42" s="46"/>
      <c r="E42" s="47"/>
      <c r="F42" s="2"/>
      <c r="G42" s="3"/>
      <c r="H42" s="1"/>
      <c r="I42" s="1"/>
      <c r="J42" s="1"/>
      <c r="K42" s="1"/>
      <c r="L42" s="1"/>
      <c r="M42" s="100">
        <v>0</v>
      </c>
      <c r="N42" s="100">
        <v>0</v>
      </c>
      <c r="O42" s="100">
        <v>0</v>
      </c>
      <c r="P42" s="100">
        <v>0</v>
      </c>
      <c r="Q42" s="100">
        <v>0</v>
      </c>
      <c r="R42" s="100">
        <v>0</v>
      </c>
      <c r="S42" s="100">
        <v>0</v>
      </c>
    </row>
    <row r="43" spans="2:19" x14ac:dyDescent="0.25">
      <c r="B43" s="85"/>
      <c r="C43" s="48"/>
      <c r="D43" s="49"/>
      <c r="E43" s="50"/>
      <c r="F43" s="2"/>
      <c r="G43" s="3"/>
      <c r="H43" s="1"/>
      <c r="I43" s="1"/>
      <c r="J43" s="1"/>
      <c r="K43" s="1"/>
      <c r="L43" s="1"/>
      <c r="M43" s="100">
        <v>0</v>
      </c>
      <c r="N43" s="100">
        <v>0</v>
      </c>
      <c r="O43" s="100">
        <v>0</v>
      </c>
      <c r="P43" s="100">
        <v>0</v>
      </c>
      <c r="Q43" s="100">
        <v>0</v>
      </c>
      <c r="R43" s="100">
        <v>0</v>
      </c>
      <c r="S43" s="100">
        <v>0</v>
      </c>
    </row>
    <row r="44" spans="2:19" x14ac:dyDescent="0.25">
      <c r="B44" s="85"/>
      <c r="C44" s="51"/>
      <c r="D44" s="52"/>
      <c r="E44" s="53"/>
      <c r="F44" s="2"/>
      <c r="G44" s="3"/>
      <c r="H44" s="1"/>
      <c r="I44" s="1"/>
      <c r="J44" s="1"/>
      <c r="K44" s="1"/>
      <c r="L44" s="1"/>
      <c r="M44" s="100">
        <v>0</v>
      </c>
      <c r="N44" s="100">
        <v>0</v>
      </c>
      <c r="O44" s="100">
        <v>0</v>
      </c>
      <c r="P44" s="100">
        <v>0</v>
      </c>
      <c r="Q44" s="100">
        <v>0</v>
      </c>
      <c r="R44" s="100">
        <v>0</v>
      </c>
      <c r="S44" s="100">
        <v>0</v>
      </c>
    </row>
    <row r="45" spans="2:19" x14ac:dyDescent="0.25">
      <c r="B45" s="86"/>
      <c r="C45" s="54" t="s">
        <v>25</v>
      </c>
      <c r="D45" s="55"/>
      <c r="E45" s="56"/>
      <c r="F45" s="90" t="s">
        <v>53</v>
      </c>
      <c r="G45" s="91"/>
      <c r="H45" s="1"/>
      <c r="I45" s="1"/>
      <c r="J45" s="1"/>
      <c r="K45" s="1"/>
      <c r="L45" s="1"/>
      <c r="M45" s="100">
        <v>0</v>
      </c>
      <c r="N45" s="100">
        <v>0</v>
      </c>
      <c r="O45" s="100">
        <v>0</v>
      </c>
      <c r="P45" s="100">
        <v>0</v>
      </c>
      <c r="Q45" s="100">
        <v>0</v>
      </c>
      <c r="R45" s="100">
        <v>0</v>
      </c>
      <c r="S45" s="100">
        <v>0</v>
      </c>
    </row>
    <row r="46" spans="2:19" x14ac:dyDescent="0.25">
      <c r="B46" s="15"/>
      <c r="C46" s="26" t="s">
        <v>29</v>
      </c>
      <c r="D46" s="26"/>
      <c r="E46" s="26"/>
      <c r="F46" s="11"/>
      <c r="G46" s="11"/>
      <c r="H46" s="13"/>
      <c r="I46" s="13"/>
      <c r="J46" s="13"/>
      <c r="K46" s="13"/>
      <c r="L46" s="13"/>
      <c r="M46" s="101">
        <f>SUM(M34:M45)</f>
        <v>127</v>
      </c>
      <c r="N46" s="13"/>
      <c r="O46" s="13"/>
      <c r="P46" s="13"/>
      <c r="Q46" s="13"/>
      <c r="R46" s="13"/>
      <c r="S46" s="13"/>
    </row>
    <row r="47" spans="2:19" x14ac:dyDescent="0.25">
      <c r="B47" s="14"/>
      <c r="C47" s="32" t="s">
        <v>30</v>
      </c>
      <c r="D47" s="32"/>
      <c r="E47" s="32"/>
      <c r="F47" s="9"/>
      <c r="G47" s="9"/>
      <c r="H47" s="10"/>
      <c r="I47" s="10"/>
      <c r="J47" s="10"/>
      <c r="K47" s="10"/>
      <c r="L47" s="10"/>
      <c r="M47" s="102">
        <f>M46/H19</f>
        <v>5.7727272727272724E-2</v>
      </c>
      <c r="N47" s="10"/>
      <c r="O47" s="10"/>
      <c r="P47" s="10"/>
      <c r="Q47" s="10"/>
      <c r="R47" s="10"/>
      <c r="S47" s="10"/>
    </row>
    <row r="49" spans="2:19" x14ac:dyDescent="0.25">
      <c r="B49" s="14"/>
      <c r="C49" s="32" t="s">
        <v>17</v>
      </c>
      <c r="D49" s="32"/>
      <c r="E49" s="32"/>
      <c r="F49" s="32" t="s">
        <v>23</v>
      </c>
      <c r="G49" s="32"/>
      <c r="H49" s="10"/>
      <c r="I49" s="10"/>
      <c r="J49" s="10"/>
      <c r="K49" s="10"/>
      <c r="L49" s="10"/>
      <c r="M49" s="29" t="s">
        <v>16</v>
      </c>
      <c r="N49" s="29" t="s">
        <v>16</v>
      </c>
      <c r="O49" s="29" t="s">
        <v>16</v>
      </c>
      <c r="P49" s="29" t="s">
        <v>16</v>
      </c>
      <c r="Q49" s="29" t="s">
        <v>16</v>
      </c>
      <c r="R49" s="29" t="s">
        <v>16</v>
      </c>
      <c r="S49" s="29" t="s">
        <v>16</v>
      </c>
    </row>
    <row r="50" spans="2:19" x14ac:dyDescent="0.25">
      <c r="B50" s="87" t="s">
        <v>68</v>
      </c>
      <c r="C50" s="69" t="s">
        <v>33</v>
      </c>
      <c r="D50" s="70"/>
      <c r="E50" s="71"/>
      <c r="F50" s="90" t="s">
        <v>52</v>
      </c>
      <c r="G50" s="91"/>
      <c r="H50" s="1"/>
      <c r="I50" s="1"/>
      <c r="J50" s="1"/>
      <c r="K50" s="1"/>
      <c r="L50" s="1"/>
      <c r="M50" s="100">
        <v>200</v>
      </c>
      <c r="N50" s="100">
        <v>0</v>
      </c>
      <c r="O50" s="100">
        <v>0</v>
      </c>
      <c r="P50" s="100">
        <v>0</v>
      </c>
      <c r="Q50" s="100">
        <v>0</v>
      </c>
      <c r="R50" s="100">
        <v>0</v>
      </c>
      <c r="S50" s="100">
        <v>0</v>
      </c>
    </row>
    <row r="51" spans="2:19" x14ac:dyDescent="0.25">
      <c r="B51" s="88"/>
      <c r="C51" s="75"/>
      <c r="D51" s="76"/>
      <c r="E51" s="77"/>
      <c r="F51" s="2"/>
      <c r="G51" s="3"/>
      <c r="H51" s="1"/>
      <c r="I51" s="1"/>
      <c r="J51" s="1"/>
      <c r="K51" s="1"/>
      <c r="L51" s="1"/>
      <c r="M51" s="100">
        <v>0</v>
      </c>
      <c r="N51" s="100">
        <v>0</v>
      </c>
      <c r="O51" s="100">
        <v>0</v>
      </c>
      <c r="P51" s="100">
        <v>0</v>
      </c>
      <c r="Q51" s="100">
        <v>0</v>
      </c>
      <c r="R51" s="100">
        <v>0</v>
      </c>
      <c r="S51" s="100">
        <v>0</v>
      </c>
    </row>
    <row r="52" spans="2:19" x14ac:dyDescent="0.25">
      <c r="B52" s="88"/>
      <c r="C52" s="69" t="s">
        <v>34</v>
      </c>
      <c r="D52" s="70"/>
      <c r="E52" s="71"/>
      <c r="F52" s="90" t="s">
        <v>51</v>
      </c>
      <c r="G52" s="91"/>
      <c r="H52" s="1"/>
      <c r="I52" s="1"/>
      <c r="J52" s="1"/>
      <c r="K52" s="1"/>
      <c r="L52" s="1"/>
      <c r="M52" s="100">
        <v>100</v>
      </c>
      <c r="N52" s="100">
        <v>0</v>
      </c>
      <c r="O52" s="100">
        <v>0</v>
      </c>
      <c r="P52" s="100">
        <v>0</v>
      </c>
      <c r="Q52" s="100">
        <v>0</v>
      </c>
      <c r="R52" s="100">
        <v>0</v>
      </c>
      <c r="S52" s="100">
        <v>0</v>
      </c>
    </row>
    <row r="53" spans="2:19" x14ac:dyDescent="0.25">
      <c r="B53" s="88"/>
      <c r="C53" s="75"/>
      <c r="D53" s="76"/>
      <c r="E53" s="77"/>
      <c r="F53" s="90" t="s">
        <v>50</v>
      </c>
      <c r="G53" s="91"/>
      <c r="H53" s="1"/>
      <c r="I53" s="1"/>
      <c r="J53" s="1"/>
      <c r="K53" s="1"/>
      <c r="L53" s="1"/>
      <c r="M53" s="100">
        <v>40</v>
      </c>
      <c r="N53" s="100">
        <v>0</v>
      </c>
      <c r="O53" s="100">
        <v>0</v>
      </c>
      <c r="P53" s="100">
        <v>0</v>
      </c>
      <c r="Q53" s="100">
        <v>0</v>
      </c>
      <c r="R53" s="100">
        <v>0</v>
      </c>
      <c r="S53" s="100">
        <v>0</v>
      </c>
    </row>
    <row r="54" spans="2:19" x14ac:dyDescent="0.25">
      <c r="B54" s="88"/>
      <c r="C54" s="69" t="s">
        <v>35</v>
      </c>
      <c r="D54" s="70"/>
      <c r="E54" s="71"/>
      <c r="F54" s="90" t="s">
        <v>49</v>
      </c>
      <c r="G54" s="91"/>
      <c r="H54" s="1"/>
      <c r="I54" s="1"/>
      <c r="J54" s="1"/>
      <c r="K54" s="1"/>
      <c r="L54" s="1"/>
      <c r="M54" s="100">
        <v>0</v>
      </c>
      <c r="N54" s="100">
        <v>0</v>
      </c>
      <c r="O54" s="100">
        <v>0</v>
      </c>
      <c r="P54" s="100">
        <v>0</v>
      </c>
      <c r="Q54" s="100">
        <v>0</v>
      </c>
      <c r="R54" s="100">
        <v>0</v>
      </c>
      <c r="S54" s="100">
        <v>0</v>
      </c>
    </row>
    <row r="55" spans="2:19" x14ac:dyDescent="0.25">
      <c r="B55" s="88"/>
      <c r="C55" s="72"/>
      <c r="D55" s="73"/>
      <c r="E55" s="74"/>
      <c r="F55" s="90" t="s">
        <v>48</v>
      </c>
      <c r="G55" s="91"/>
      <c r="H55" s="1"/>
      <c r="I55" s="1"/>
      <c r="J55" s="1"/>
      <c r="K55" s="1"/>
      <c r="L55" s="1"/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</row>
    <row r="56" spans="2:19" x14ac:dyDescent="0.25">
      <c r="B56" s="88"/>
      <c r="C56" s="72"/>
      <c r="D56" s="73"/>
      <c r="E56" s="74"/>
      <c r="F56" s="90" t="s">
        <v>47</v>
      </c>
      <c r="G56" s="91"/>
      <c r="H56" s="1"/>
      <c r="I56" s="1"/>
      <c r="J56" s="1"/>
      <c r="K56" s="1"/>
      <c r="L56" s="1"/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</row>
    <row r="57" spans="2:19" x14ac:dyDescent="0.25">
      <c r="B57" s="88"/>
      <c r="C57" s="75"/>
      <c r="D57" s="76"/>
      <c r="E57" s="77"/>
      <c r="F57" s="90"/>
      <c r="G57" s="91"/>
      <c r="H57" s="1"/>
      <c r="I57" s="1"/>
      <c r="J57" s="1"/>
      <c r="K57" s="1"/>
      <c r="L57" s="1"/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</row>
    <row r="58" spans="2:19" x14ac:dyDescent="0.25">
      <c r="B58" s="88"/>
      <c r="C58" s="69" t="s">
        <v>36</v>
      </c>
      <c r="D58" s="70"/>
      <c r="E58" s="71"/>
      <c r="F58" s="90" t="s">
        <v>46</v>
      </c>
      <c r="G58" s="91"/>
      <c r="H58" s="1"/>
      <c r="I58" s="1"/>
      <c r="J58" s="1"/>
      <c r="K58" s="1"/>
      <c r="L58" s="1"/>
      <c r="M58" s="100">
        <v>0</v>
      </c>
      <c r="N58" s="100">
        <v>0</v>
      </c>
      <c r="O58" s="100">
        <v>0</v>
      </c>
      <c r="P58" s="100">
        <v>0</v>
      </c>
      <c r="Q58" s="100">
        <v>0</v>
      </c>
      <c r="R58" s="100">
        <v>0</v>
      </c>
      <c r="S58" s="100">
        <v>0</v>
      </c>
    </row>
    <row r="59" spans="2:19" x14ac:dyDescent="0.25">
      <c r="B59" s="88"/>
      <c r="C59" s="72"/>
      <c r="D59" s="73"/>
      <c r="E59" s="74"/>
      <c r="F59" s="90" t="s">
        <v>45</v>
      </c>
      <c r="G59" s="91"/>
      <c r="H59" s="1"/>
      <c r="I59" s="1"/>
      <c r="J59" s="1"/>
      <c r="K59" s="1"/>
      <c r="L59" s="1"/>
      <c r="M59" s="100">
        <v>0</v>
      </c>
      <c r="N59" s="100">
        <v>0</v>
      </c>
      <c r="O59" s="100">
        <v>0</v>
      </c>
      <c r="P59" s="100">
        <v>0</v>
      </c>
      <c r="Q59" s="100">
        <v>0</v>
      </c>
      <c r="R59" s="100">
        <v>0</v>
      </c>
      <c r="S59" s="100">
        <v>0</v>
      </c>
    </row>
    <row r="60" spans="2:19" x14ac:dyDescent="0.25">
      <c r="B60" s="88"/>
      <c r="C60" s="75"/>
      <c r="D60" s="76"/>
      <c r="E60" s="77"/>
      <c r="F60" s="90" t="s">
        <v>44</v>
      </c>
      <c r="G60" s="91"/>
      <c r="H60" s="1"/>
      <c r="I60" s="1"/>
      <c r="J60" s="1"/>
      <c r="K60" s="1"/>
      <c r="L60" s="1"/>
      <c r="M60" s="100">
        <v>0</v>
      </c>
      <c r="N60" s="100">
        <v>0</v>
      </c>
      <c r="O60" s="100">
        <v>0</v>
      </c>
      <c r="P60" s="100">
        <v>0</v>
      </c>
      <c r="Q60" s="100">
        <v>0</v>
      </c>
      <c r="R60" s="100">
        <v>0</v>
      </c>
      <c r="S60" s="100">
        <v>0</v>
      </c>
    </row>
    <row r="61" spans="2:19" x14ac:dyDescent="0.25">
      <c r="B61" s="89"/>
      <c r="C61" s="57" t="s">
        <v>37</v>
      </c>
      <c r="D61" s="58"/>
      <c r="E61" s="59"/>
      <c r="F61" s="90" t="s">
        <v>43</v>
      </c>
      <c r="G61" s="91"/>
      <c r="H61" s="1"/>
      <c r="I61" s="1"/>
      <c r="J61" s="1"/>
      <c r="K61" s="1"/>
      <c r="L61" s="1"/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</row>
    <row r="62" spans="2:19" x14ac:dyDescent="0.25">
      <c r="B62" s="15"/>
      <c r="C62" s="26" t="s">
        <v>32</v>
      </c>
      <c r="D62" s="26"/>
      <c r="E62" s="26"/>
      <c r="F62" s="92"/>
      <c r="G62" s="92"/>
      <c r="H62" s="13"/>
      <c r="I62" s="13"/>
      <c r="J62" s="13"/>
      <c r="K62" s="13"/>
      <c r="L62" s="13"/>
      <c r="M62" s="101">
        <f>SUM(M50:M61)</f>
        <v>340</v>
      </c>
      <c r="N62" s="13"/>
      <c r="O62" s="13"/>
      <c r="P62" s="13"/>
      <c r="Q62" s="13"/>
      <c r="R62" s="13"/>
      <c r="S62" s="13"/>
    </row>
    <row r="63" spans="2:19" x14ac:dyDescent="0.25">
      <c r="B63" s="15"/>
      <c r="C63" s="26" t="s">
        <v>27</v>
      </c>
      <c r="D63" s="26"/>
      <c r="E63" s="26"/>
      <c r="F63" s="11"/>
      <c r="G63" s="11"/>
      <c r="H63" s="13"/>
      <c r="I63" s="13"/>
      <c r="J63" s="13"/>
      <c r="K63" s="13"/>
      <c r="L63" s="13"/>
      <c r="M63" s="103">
        <f>M62/H19</f>
        <v>0.15454545454545454</v>
      </c>
      <c r="N63" s="13"/>
      <c r="O63" s="13"/>
      <c r="P63" s="13"/>
      <c r="Q63" s="13"/>
      <c r="R63" s="13"/>
      <c r="S63" s="13"/>
    </row>
    <row r="65" spans="2:19" x14ac:dyDescent="0.25">
      <c r="B65" s="60" t="s">
        <v>38</v>
      </c>
      <c r="C65" s="61"/>
      <c r="D65" s="61"/>
      <c r="E65" s="62"/>
      <c r="F65" s="93" t="s">
        <v>39</v>
      </c>
      <c r="G65" s="94"/>
      <c r="H65" s="100">
        <f>H19</f>
        <v>2200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 x14ac:dyDescent="0.25">
      <c r="B66" s="63"/>
      <c r="C66" s="64"/>
      <c r="D66" s="64"/>
      <c r="E66" s="65"/>
      <c r="F66" s="93" t="s">
        <v>40</v>
      </c>
      <c r="G66" s="94"/>
      <c r="H66" s="100">
        <f>M30</f>
        <v>625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2:19" x14ac:dyDescent="0.25">
      <c r="B67" s="63"/>
      <c r="C67" s="64"/>
      <c r="D67" s="64"/>
      <c r="E67" s="65"/>
      <c r="F67" s="93" t="s">
        <v>41</v>
      </c>
      <c r="G67" s="94"/>
      <c r="H67" s="100">
        <f>M46</f>
        <v>127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2:19" x14ac:dyDescent="0.25">
      <c r="B68" s="66"/>
      <c r="C68" s="67"/>
      <c r="D68" s="67"/>
      <c r="E68" s="68"/>
      <c r="F68" s="93" t="s">
        <v>42</v>
      </c>
      <c r="G68" s="94"/>
      <c r="H68" s="100">
        <f>M62</f>
        <v>340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2:19" x14ac:dyDescent="0.25">
      <c r="B69" s="95" t="s">
        <v>31</v>
      </c>
      <c r="C69" s="96"/>
      <c r="D69" s="96"/>
      <c r="E69" s="96"/>
      <c r="F69" s="96"/>
      <c r="G69" s="97"/>
      <c r="H69" s="104">
        <f>H65-H66-H67-H68</f>
        <v>1108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</sheetData>
  <mergeCells count="105">
    <mergeCell ref="B65:E68"/>
    <mergeCell ref="F65:G65"/>
    <mergeCell ref="F66:G66"/>
    <mergeCell ref="F67:G67"/>
    <mergeCell ref="F68:G68"/>
    <mergeCell ref="B69:G69"/>
    <mergeCell ref="C62:E62"/>
    <mergeCell ref="C63:E63"/>
    <mergeCell ref="F62:G62"/>
    <mergeCell ref="F63:G63"/>
    <mergeCell ref="F49:G49"/>
    <mergeCell ref="C49:E49"/>
    <mergeCell ref="F56:G56"/>
    <mergeCell ref="F57:G57"/>
    <mergeCell ref="F58:G58"/>
    <mergeCell ref="F59:G59"/>
    <mergeCell ref="F60:G60"/>
    <mergeCell ref="F61:G61"/>
    <mergeCell ref="F50:G50"/>
    <mergeCell ref="F51:G51"/>
    <mergeCell ref="F52:G52"/>
    <mergeCell ref="F53:G53"/>
    <mergeCell ref="F54:G54"/>
    <mergeCell ref="F55:G55"/>
    <mergeCell ref="C46:E46"/>
    <mergeCell ref="C47:E47"/>
    <mergeCell ref="F46:G46"/>
    <mergeCell ref="F47:G47"/>
    <mergeCell ref="B50:B61"/>
    <mergeCell ref="C50:E51"/>
    <mergeCell ref="C52:E53"/>
    <mergeCell ref="C54:E57"/>
    <mergeCell ref="C58:E60"/>
    <mergeCell ref="C61:E61"/>
    <mergeCell ref="F42:G42"/>
    <mergeCell ref="F43:G43"/>
    <mergeCell ref="F44:G44"/>
    <mergeCell ref="F45:G45"/>
    <mergeCell ref="C33:E33"/>
    <mergeCell ref="F33:G33"/>
    <mergeCell ref="F36:G36"/>
    <mergeCell ref="F37:G37"/>
    <mergeCell ref="F38:G38"/>
    <mergeCell ref="F39:G39"/>
    <mergeCell ref="F40:G40"/>
    <mergeCell ref="F41:G41"/>
    <mergeCell ref="F21:G21"/>
    <mergeCell ref="C21:E21"/>
    <mergeCell ref="B34:B45"/>
    <mergeCell ref="C34:E38"/>
    <mergeCell ref="C39:E41"/>
    <mergeCell ref="C42:E44"/>
    <mergeCell ref="C45:E45"/>
    <mergeCell ref="F34:G34"/>
    <mergeCell ref="F35:G35"/>
    <mergeCell ref="F28:G28"/>
    <mergeCell ref="F29:G29"/>
    <mergeCell ref="C30:E30"/>
    <mergeCell ref="C31:E31"/>
    <mergeCell ref="F30:G30"/>
    <mergeCell ref="F31:G31"/>
    <mergeCell ref="F22:G22"/>
    <mergeCell ref="F23:G23"/>
    <mergeCell ref="F24:G24"/>
    <mergeCell ref="F25:G25"/>
    <mergeCell ref="F26:G26"/>
    <mergeCell ref="F27:G27"/>
    <mergeCell ref="F15:G15"/>
    <mergeCell ref="F16:G16"/>
    <mergeCell ref="F17:G17"/>
    <mergeCell ref="F18:G18"/>
    <mergeCell ref="B22:B29"/>
    <mergeCell ref="C22:E22"/>
    <mergeCell ref="C23:E23"/>
    <mergeCell ref="C24:E24"/>
    <mergeCell ref="C25:E27"/>
    <mergeCell ref="C28:E29"/>
    <mergeCell ref="F9:G9"/>
    <mergeCell ref="F10:G10"/>
    <mergeCell ref="F11:G11"/>
    <mergeCell ref="F12:G12"/>
    <mergeCell ref="F13:G13"/>
    <mergeCell ref="F14:G14"/>
    <mergeCell ref="C5:E5"/>
    <mergeCell ref="C6:E6"/>
    <mergeCell ref="F6:G6"/>
    <mergeCell ref="F5:G5"/>
    <mergeCell ref="F7:G7"/>
    <mergeCell ref="F8:G8"/>
    <mergeCell ref="C13:E13"/>
    <mergeCell ref="C14:E14"/>
    <mergeCell ref="C15:E15"/>
    <mergeCell ref="C16:E16"/>
    <mergeCell ref="C17:E17"/>
    <mergeCell ref="C18:E18"/>
    <mergeCell ref="B2:S4"/>
    <mergeCell ref="B7:B18"/>
    <mergeCell ref="C19:E19"/>
    <mergeCell ref="F19:G19"/>
    <mergeCell ref="C7:E7"/>
    <mergeCell ref="C8:E8"/>
    <mergeCell ref="C9:E9"/>
    <mergeCell ref="C10:E10"/>
    <mergeCell ref="C11:E11"/>
    <mergeCell ref="C12:E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 Cetafaju</dc:creator>
  <cp:lastModifiedBy>Tarde Cetafaju</cp:lastModifiedBy>
  <dcterms:created xsi:type="dcterms:W3CDTF">2026-02-03T17:01:35Z</dcterms:created>
  <dcterms:modified xsi:type="dcterms:W3CDTF">2026-02-03T20:21:27Z</dcterms:modified>
</cp:coreProperties>
</file>