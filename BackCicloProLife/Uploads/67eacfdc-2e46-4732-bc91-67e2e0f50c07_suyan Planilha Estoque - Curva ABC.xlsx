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lanilha3" sheetId="2" r:id="rId5"/>
    <sheet state="visible" name="Página1" sheetId="3" r:id="rId6"/>
  </sheets>
  <definedNames/>
  <calcPr/>
  <extLst>
    <ext uri="GoogleSheetsCustomDataVersion2">
      <go:sheetsCustomData xmlns:go="http://customooxmlschemas.google.com/" r:id="rId7" roundtripDataChecksum="kJVTeHqBWNHFc23g0ChS/u1shL3R21WCWuGiXKaOct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======
ID#AAAB6im9KmQ
Tarde Cetafaju    (2026-05-16 12:54:15)
ITENS 50%
FATURAMENTO 5%</t>
      </text>
    </comment>
    <comment authorId="0" ref="E4">
      <text>
        <t xml:space="preserve">======
ID#AAAB6im9KmM
Tarde Cetafaju    (2026-05-16 12:54:15)
ITENS 20%
FATURAMENTO 80%</t>
      </text>
    </comment>
    <comment authorId="0" ref="F6">
      <text>
        <t xml:space="preserve">======
ID#AAAB6im9KmY
Tarde Cetafaju    (2026-05-16 12:54:15)
ITENS 30%
FATURAMENTO 15%</t>
      </text>
    </comment>
    <comment authorId="0" ref="G10">
      <text>
        <t xml:space="preserve">======
ID#AAAB6im9Kmc
Tarde Cetafaju    (2026-05-16 12:54:15)
ITENS 50%
FATURAMENTO 5%</t>
      </text>
    </comment>
    <comment authorId="0" ref="G11">
      <text>
        <t xml:space="preserve">======
ID#AAAB6im9KmU
Tarde Cetafaju    (2026-05-16 12:54:15)
ITENS 50%
FATURAMENTO 5%</t>
      </text>
    </comment>
    <comment authorId="0" ref="F7">
      <text>
        <t xml:space="preserve">======
ID#AAAB6im9KmA
Tarde Cetafaju    (2026-05-16 12:54:15)
ITENS 30%
FATURAMENTO 15%</t>
      </text>
    </comment>
    <comment authorId="0" ref="E5">
      <text>
        <t xml:space="preserve">======
ID#AAAB6im9KmI
Tarde Cetafaju    (2026-05-16 12:54:15)
ITENS 20%
FATURAMENTO 80%</t>
      </text>
    </comment>
    <comment authorId="0" ref="G9">
      <text>
        <t xml:space="preserve">======
ID#AAAB6im9KmE
Tarde Cetafaju    (2026-05-16 12:54:15)
ITENS 50%
FATURAMENTO 5%</t>
      </text>
    </comment>
    <comment authorId="0" ref="G13">
      <text>
        <t xml:space="preserve">======
ID#AAAB6im9Kl8
Tarde Cetafaju    (2026-05-16 12:54:15)
ITENS 50%
FATURAMENTO 5%</t>
      </text>
    </comment>
    <comment authorId="0" ref="F8">
      <text>
        <t xml:space="preserve">======
ID#AAAB6im9Kl4
Tarde Cetafaju    (2026-05-16 12:54:15)
ITENS 30%
FATURAMENTO 15%</t>
      </text>
    </comment>
  </commentList>
  <extLst>
    <ext uri="GoogleSheetsCustomDataVersion2">
      <go:sheetsCustomData xmlns:go="http://customooxmlschemas.google.com/" r:id="rId1" roundtripDataSignature="AMtx7mgkaRqCY8oCtPcD8q/bTWSFngK/Lw=="/>
    </ext>
  </extLst>
</comments>
</file>

<file path=xl/sharedStrings.xml><?xml version="1.0" encoding="utf-8"?>
<sst xmlns="http://schemas.openxmlformats.org/spreadsheetml/2006/main" count="79" uniqueCount="47">
  <si>
    <t>PRODUTOS</t>
  </si>
  <si>
    <t>CONSUMO ANUAL(R$)</t>
  </si>
  <si>
    <t>CLASSES</t>
  </si>
  <si>
    <t>A</t>
  </si>
  <si>
    <t>B</t>
  </si>
  <si>
    <t>C</t>
  </si>
  <si>
    <t>FARINHA DE TRIGO</t>
  </si>
  <si>
    <t>X</t>
  </si>
  <si>
    <t>ÓLEO DE SOJA</t>
  </si>
  <si>
    <t>ÁÇUCAR CRISTAL</t>
  </si>
  <si>
    <t>SAL REFINADO</t>
  </si>
  <si>
    <t>FERMENTO QUÍMICO</t>
  </si>
  <si>
    <t>LEITE EM PÓ</t>
  </si>
  <si>
    <t>MARGARINA</t>
  </si>
  <si>
    <t>EMBALAGENS PLÁSTICAS</t>
  </si>
  <si>
    <t>ESSÊNCIA DE BAUNILHA</t>
  </si>
  <si>
    <t>CORANTES ALIMENTARES</t>
  </si>
  <si>
    <t xml:space="preserve">DESCRIÇÃO DO ITEM </t>
  </si>
  <si>
    <t>QUANTIDADE</t>
  </si>
  <si>
    <t>VALOR UNITÁRIO (R$)</t>
  </si>
  <si>
    <t>SOMA TOTAL</t>
  </si>
  <si>
    <t>CLASSE</t>
  </si>
  <si>
    <t>ITENS</t>
  </si>
  <si>
    <t>REPRESENTATIVIDADE</t>
  </si>
  <si>
    <t>FIO DE COBRE ESMALTADO</t>
  </si>
  <si>
    <t>CARCAÇA DE ALUMÍNIO INJEC</t>
  </si>
  <si>
    <t>EIXOS DE AÇO CARBONO</t>
  </si>
  <si>
    <t>ROLAMENTO DE PRECISÃO</t>
  </si>
  <si>
    <t>VERNIZ ISOLANTE (LITROS)</t>
  </si>
  <si>
    <t>VENTOINHAS DE PLÁSTICO</t>
  </si>
  <si>
    <t>PARAFUSO DE FIXAÇÃO M8</t>
  </si>
  <si>
    <t>ÓLEO LUBRIFCANTE (L)</t>
  </si>
  <si>
    <t>CAIXA DE PRESSÃO (EMBALAGEM)</t>
  </si>
  <si>
    <t>TERMINAIS ELÉTRICO</t>
  </si>
  <si>
    <t>DESCRIÇÃO DOS ITENS</t>
  </si>
  <si>
    <t>DEMANDA MÉDIA DIÁRIA</t>
  </si>
  <si>
    <t>TEMPO DE REPOSIÇÃO</t>
  </si>
  <si>
    <t xml:space="preserve">LOTE DE COMPRA(QUANTIDADE </t>
  </si>
  <si>
    <t xml:space="preserve">DEMANDA MAXIMA DIÁRIA </t>
  </si>
  <si>
    <t>DESVIO PADRÃO  FATOR DE SEGURANÇA(Y)</t>
  </si>
  <si>
    <t>ESTOQUE MINIMO</t>
  </si>
  <si>
    <t>ESTOQUE MÁXIMO</t>
  </si>
  <si>
    <t>ESTOQUE DE SEGURANÇA</t>
  </si>
  <si>
    <t>(CONSUMO) UNID</t>
  </si>
  <si>
    <t>(LEAND TIME)</t>
  </si>
  <si>
    <t>PADRÃO DE PEDIDO)UNID</t>
  </si>
  <si>
    <t>HISTÓRICA  UNID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</si>
</sst>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6" fillId="0" fontId="1" numFmtId="3" xfId="0" applyBorder="1" applyFont="1" applyNumberFormat="1"/>
    <xf borderId="6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6" fillId="0" fontId="1" numFmtId="10" xfId="0" applyBorder="1" applyFont="1" applyNumberFormat="1"/>
    <xf borderId="6" fillId="0" fontId="1" numFmtId="9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14"/>
    <col customWidth="1" min="4" max="4" width="20.86"/>
    <col customWidth="1" min="5" max="26" width="8.71"/>
  </cols>
  <sheetData>
    <row r="2">
      <c r="C2" s="1" t="s">
        <v>0</v>
      </c>
      <c r="D2" s="1" t="s">
        <v>1</v>
      </c>
      <c r="E2" s="2" t="s">
        <v>2</v>
      </c>
      <c r="F2" s="3"/>
      <c r="G2" s="4"/>
    </row>
    <row r="3">
      <c r="C3" s="5"/>
      <c r="D3" s="5"/>
      <c r="E3" s="6" t="s">
        <v>3</v>
      </c>
      <c r="F3" s="6" t="s">
        <v>4</v>
      </c>
      <c r="G3" s="6" t="s">
        <v>5</v>
      </c>
    </row>
    <row r="4">
      <c r="C4" s="7" t="s">
        <v>6</v>
      </c>
      <c r="D4" s="8">
        <v>40000.0</v>
      </c>
      <c r="E4" s="9" t="s">
        <v>7</v>
      </c>
      <c r="F4" s="9"/>
      <c r="G4" s="9"/>
    </row>
    <row r="5">
      <c r="C5" s="7" t="s">
        <v>8</v>
      </c>
      <c r="D5" s="8">
        <v>30000.0</v>
      </c>
      <c r="E5" s="9" t="s">
        <v>7</v>
      </c>
      <c r="F5" s="9"/>
      <c r="G5" s="9"/>
    </row>
    <row r="6">
      <c r="C6" s="7" t="s">
        <v>9</v>
      </c>
      <c r="D6" s="8">
        <v>10000.0</v>
      </c>
      <c r="E6" s="9"/>
      <c r="F6" s="9" t="s">
        <v>7</v>
      </c>
      <c r="G6" s="9"/>
    </row>
    <row r="7">
      <c r="C7" s="7" t="s">
        <v>10</v>
      </c>
      <c r="D7" s="8">
        <v>8000.0</v>
      </c>
      <c r="E7" s="9"/>
      <c r="F7" s="9" t="s">
        <v>7</v>
      </c>
      <c r="G7" s="9"/>
    </row>
    <row r="8">
      <c r="C8" s="7" t="s">
        <v>11</v>
      </c>
      <c r="D8" s="8">
        <v>5000.0</v>
      </c>
      <c r="E8" s="9"/>
      <c r="F8" s="9" t="s">
        <v>7</v>
      </c>
      <c r="G8" s="9"/>
    </row>
    <row r="9">
      <c r="C9" s="7" t="s">
        <v>12</v>
      </c>
      <c r="D9" s="8">
        <v>3000.0</v>
      </c>
      <c r="E9" s="9"/>
      <c r="F9" s="9"/>
      <c r="G9" s="9" t="s">
        <v>7</v>
      </c>
    </row>
    <row r="10">
      <c r="C10" s="7" t="s">
        <v>13</v>
      </c>
      <c r="D10" s="8">
        <v>2000.0</v>
      </c>
      <c r="E10" s="9"/>
      <c r="F10" s="9"/>
      <c r="G10" s="9" t="s">
        <v>7</v>
      </c>
    </row>
    <row r="11">
      <c r="C11" s="7" t="s">
        <v>14</v>
      </c>
      <c r="D11" s="8">
        <v>1000.0</v>
      </c>
      <c r="E11" s="9"/>
      <c r="F11" s="9"/>
      <c r="G11" s="9" t="s">
        <v>7</v>
      </c>
    </row>
    <row r="12">
      <c r="C12" s="7" t="s">
        <v>15</v>
      </c>
      <c r="D12" s="8">
        <v>500.0</v>
      </c>
      <c r="E12" s="9"/>
      <c r="F12" s="9"/>
      <c r="G12" s="9" t="s">
        <v>7</v>
      </c>
    </row>
    <row r="13">
      <c r="C13" s="7" t="s">
        <v>16</v>
      </c>
      <c r="D13" s="8">
        <v>500.0</v>
      </c>
      <c r="E13" s="9"/>
      <c r="F13" s="9"/>
      <c r="G13" s="9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C3"/>
    <mergeCell ref="D2:D3"/>
    <mergeCell ref="E2:G2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1.43"/>
    <col customWidth="1" min="4" max="4" width="12.86"/>
    <col customWidth="1" min="5" max="5" width="20.43"/>
    <col customWidth="1" min="6" max="6" width="12.43"/>
    <col customWidth="1" min="7" max="10" width="8.71"/>
    <col customWidth="1" min="11" max="11" width="20.71"/>
    <col customWidth="1" min="12" max="26" width="8.71"/>
  </cols>
  <sheetData>
    <row r="2">
      <c r="C2" s="1" t="s">
        <v>17</v>
      </c>
      <c r="D2" s="1" t="s">
        <v>18</v>
      </c>
      <c r="E2" s="1" t="s">
        <v>19</v>
      </c>
      <c r="F2" s="1" t="s">
        <v>20</v>
      </c>
      <c r="G2" s="10" t="s">
        <v>21</v>
      </c>
      <c r="H2" s="3"/>
      <c r="I2" s="4"/>
      <c r="J2" s="1" t="s">
        <v>22</v>
      </c>
      <c r="K2" s="11" t="s">
        <v>23</v>
      </c>
    </row>
    <row r="3">
      <c r="C3" s="5"/>
      <c r="D3" s="5"/>
      <c r="E3" s="5"/>
      <c r="F3" s="5"/>
      <c r="G3" s="6" t="s">
        <v>3</v>
      </c>
      <c r="H3" s="6" t="s">
        <v>4</v>
      </c>
      <c r="I3" s="6" t="s">
        <v>5</v>
      </c>
      <c r="J3" s="5"/>
      <c r="K3" s="5"/>
    </row>
    <row r="4">
      <c r="C4" s="7" t="s">
        <v>24</v>
      </c>
      <c r="D4" s="8">
        <v>1500.0</v>
      </c>
      <c r="E4" s="7">
        <v>90.0</v>
      </c>
      <c r="F4" s="7">
        <f t="shared" ref="F4:F13" si="1">SUM(D4*E4)</f>
        <v>135000</v>
      </c>
      <c r="G4" s="6" t="s">
        <v>7</v>
      </c>
      <c r="H4" s="6"/>
      <c r="I4" s="6"/>
      <c r="J4" s="12">
        <v>0.2</v>
      </c>
      <c r="K4" s="13">
        <v>0.8</v>
      </c>
    </row>
    <row r="5">
      <c r="C5" s="7" t="s">
        <v>25</v>
      </c>
      <c r="D5" s="7">
        <v>400.0</v>
      </c>
      <c r="E5" s="7">
        <v>320.0</v>
      </c>
      <c r="F5" s="7">
        <f t="shared" si="1"/>
        <v>128000</v>
      </c>
      <c r="G5" s="6" t="s">
        <v>7</v>
      </c>
      <c r="H5" s="6"/>
      <c r="I5" s="6"/>
      <c r="J5" s="12">
        <v>0.2</v>
      </c>
      <c r="K5" s="13">
        <v>0.8</v>
      </c>
    </row>
    <row r="6">
      <c r="C6" s="7" t="s">
        <v>26</v>
      </c>
      <c r="D6" s="8">
        <v>450.0</v>
      </c>
      <c r="E6" s="7">
        <v>110.0</v>
      </c>
      <c r="F6" s="7">
        <f t="shared" si="1"/>
        <v>49500</v>
      </c>
      <c r="G6" s="6"/>
      <c r="H6" s="6" t="s">
        <v>7</v>
      </c>
      <c r="I6" s="6"/>
      <c r="J6" s="12">
        <v>0.3</v>
      </c>
      <c r="K6" s="13">
        <v>0.15</v>
      </c>
    </row>
    <row r="7">
      <c r="C7" s="7" t="s">
        <v>27</v>
      </c>
      <c r="D7" s="8">
        <v>2500.0</v>
      </c>
      <c r="E7" s="7">
        <v>15.0</v>
      </c>
      <c r="F7" s="7">
        <f t="shared" si="1"/>
        <v>37500</v>
      </c>
      <c r="G7" s="6"/>
      <c r="H7" s="6" t="s">
        <v>7</v>
      </c>
      <c r="I7" s="6"/>
      <c r="J7" s="12">
        <v>0.3</v>
      </c>
      <c r="K7" s="13">
        <v>0.15</v>
      </c>
    </row>
    <row r="8">
      <c r="C8" s="7" t="s">
        <v>28</v>
      </c>
      <c r="D8" s="8">
        <v>300.0</v>
      </c>
      <c r="E8" s="7">
        <v>55.0</v>
      </c>
      <c r="F8" s="7">
        <f t="shared" si="1"/>
        <v>16500</v>
      </c>
      <c r="G8" s="6"/>
      <c r="H8" s="6" t="s">
        <v>7</v>
      </c>
      <c r="I8" s="6"/>
      <c r="J8" s="12">
        <v>0.3</v>
      </c>
      <c r="K8" s="13">
        <v>0.15</v>
      </c>
    </row>
    <row r="9">
      <c r="C9" s="7" t="s">
        <v>29</v>
      </c>
      <c r="D9" s="8">
        <v>800.0</v>
      </c>
      <c r="E9" s="7">
        <v>12.0</v>
      </c>
      <c r="F9" s="7">
        <f t="shared" si="1"/>
        <v>9600</v>
      </c>
      <c r="G9" s="6"/>
      <c r="H9" s="6"/>
      <c r="I9" s="6" t="s">
        <v>7</v>
      </c>
      <c r="J9" s="12">
        <v>0.5</v>
      </c>
      <c r="K9" s="13">
        <v>0.05</v>
      </c>
    </row>
    <row r="10">
      <c r="C10" s="7" t="s">
        <v>30</v>
      </c>
      <c r="D10" s="8">
        <v>20000.0</v>
      </c>
      <c r="E10" s="7">
        <v>0.4</v>
      </c>
      <c r="F10" s="7">
        <f t="shared" si="1"/>
        <v>8000</v>
      </c>
      <c r="G10" s="6"/>
      <c r="H10" s="6"/>
      <c r="I10" s="6" t="s">
        <v>7</v>
      </c>
      <c r="J10" s="12">
        <v>0.5</v>
      </c>
      <c r="K10" s="13">
        <v>0.05</v>
      </c>
    </row>
    <row r="11">
      <c r="C11" s="7" t="s">
        <v>31</v>
      </c>
      <c r="D11" s="8">
        <v>100.0</v>
      </c>
      <c r="E11" s="7">
        <v>45.0</v>
      </c>
      <c r="F11" s="7">
        <f t="shared" si="1"/>
        <v>4500</v>
      </c>
      <c r="G11" s="6"/>
      <c r="H11" s="6"/>
      <c r="I11" s="6" t="s">
        <v>7</v>
      </c>
      <c r="J11" s="12">
        <v>0.5</v>
      </c>
      <c r="K11" s="13">
        <v>0.05</v>
      </c>
    </row>
    <row r="12">
      <c r="C12" s="7" t="s">
        <v>32</v>
      </c>
      <c r="D12" s="8">
        <v>600.0</v>
      </c>
      <c r="E12" s="7">
        <v>7.5</v>
      </c>
      <c r="F12" s="7">
        <f t="shared" si="1"/>
        <v>4500</v>
      </c>
      <c r="G12" s="6"/>
      <c r="H12" s="6"/>
      <c r="I12" s="6" t="s">
        <v>7</v>
      </c>
      <c r="J12" s="12">
        <v>0.5</v>
      </c>
      <c r="K12" s="13">
        <v>0.05</v>
      </c>
    </row>
    <row r="13">
      <c r="C13" s="7" t="s">
        <v>33</v>
      </c>
      <c r="D13" s="8">
        <v>12000.0</v>
      </c>
      <c r="E13" s="7">
        <v>0.2</v>
      </c>
      <c r="F13" s="7">
        <f t="shared" si="1"/>
        <v>2400</v>
      </c>
      <c r="G13" s="6"/>
      <c r="H13" s="6"/>
      <c r="I13" s="6" t="s">
        <v>7</v>
      </c>
      <c r="J13" s="12">
        <v>0.5</v>
      </c>
      <c r="K13" s="13">
        <v>0.05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C2:C3"/>
    <mergeCell ref="D2:D3"/>
    <mergeCell ref="E2:E3"/>
    <mergeCell ref="F2:F3"/>
    <mergeCell ref="G2:I2"/>
    <mergeCell ref="J2:J3"/>
    <mergeCell ref="K2:K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28.43"/>
    <col customWidth="1" min="3" max="3" width="21.43"/>
    <col customWidth="1" min="4" max="4" width="34.57"/>
    <col customWidth="1" min="5" max="5" width="28.29"/>
    <col customWidth="1" min="6" max="6" width="40.14"/>
    <col customWidth="1" min="7" max="7" width="29.57"/>
    <col customWidth="1" min="8" max="8" width="28.86"/>
    <col customWidth="1" min="9" max="9" width="23.57"/>
  </cols>
  <sheetData>
    <row r="2">
      <c r="A2" s="14" t="s">
        <v>34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14" t="s">
        <v>42</v>
      </c>
    </row>
    <row r="3">
      <c r="A3" s="7"/>
      <c r="B3" s="14" t="s">
        <v>43</v>
      </c>
      <c r="C3" s="14" t="s">
        <v>44</v>
      </c>
      <c r="D3" s="14" t="s">
        <v>45</v>
      </c>
      <c r="E3" s="14" t="s">
        <v>46</v>
      </c>
    </row>
    <row r="4">
      <c r="A4" s="7" t="s">
        <v>24</v>
      </c>
      <c r="B4" s="14">
        <f>ROUNDUP(Planilha3!D4/30,0)</f>
        <v>50</v>
      </c>
      <c r="C4" s="14">
        <v>5.0</v>
      </c>
      <c r="D4" s="14">
        <v>100.0</v>
      </c>
      <c r="E4" s="14">
        <v>15.0</v>
      </c>
      <c r="F4" s="14">
        <v>1.65</v>
      </c>
      <c r="G4" s="15">
        <f t="shared" ref="G4:G13" si="1">SUM(B4*C4)*1.1</f>
        <v>275</v>
      </c>
      <c r="H4" s="15">
        <f t="shared" ref="H4:H13" si="2"> SUM(D4+G4)</f>
        <v>375</v>
      </c>
      <c r="I4" s="16">
        <f t="shared" ref="I4:I13" si="3">ROUNDUP(F4*SQRT(B4^2*C4+C4^2*B4^2),0)</f>
        <v>452</v>
      </c>
    </row>
    <row r="5">
      <c r="A5" s="7" t="s">
        <v>25</v>
      </c>
      <c r="B5" s="14">
        <f>ROUNDUP(Planilha3!D5/30,0)</f>
        <v>14</v>
      </c>
      <c r="C5" s="14">
        <v>5.0</v>
      </c>
      <c r="D5" s="14">
        <v>100.0</v>
      </c>
      <c r="E5" s="14">
        <v>15.0</v>
      </c>
      <c r="F5" s="14">
        <v>1.65</v>
      </c>
      <c r="G5" s="15">
        <f t="shared" si="1"/>
        <v>77</v>
      </c>
      <c r="H5" s="15">
        <f t="shared" si="2"/>
        <v>177</v>
      </c>
      <c r="I5" s="16">
        <f t="shared" si="3"/>
        <v>127</v>
      </c>
    </row>
    <row r="6">
      <c r="A6" s="7" t="s">
        <v>26</v>
      </c>
      <c r="B6" s="14">
        <f>ROUNDUP(Planilha3!D6/30,0)</f>
        <v>15</v>
      </c>
      <c r="C6" s="14">
        <v>5.0</v>
      </c>
      <c r="D6" s="14">
        <v>100.0</v>
      </c>
      <c r="E6" s="14">
        <v>15.0</v>
      </c>
      <c r="F6" s="14">
        <v>1.65</v>
      </c>
      <c r="G6" s="15">
        <f t="shared" si="1"/>
        <v>82.5</v>
      </c>
      <c r="H6" s="15">
        <f t="shared" si="2"/>
        <v>182.5</v>
      </c>
      <c r="I6" s="16">
        <f t="shared" si="3"/>
        <v>136</v>
      </c>
    </row>
    <row r="7">
      <c r="A7" s="7" t="s">
        <v>27</v>
      </c>
      <c r="B7" s="14">
        <f>ROUNDUP(Planilha3!D7/30,0)</f>
        <v>84</v>
      </c>
      <c r="C7" s="14">
        <v>5.0</v>
      </c>
      <c r="D7" s="14">
        <v>100.0</v>
      </c>
      <c r="E7" s="14">
        <v>15.0</v>
      </c>
      <c r="F7" s="14">
        <v>1.65</v>
      </c>
      <c r="G7" s="15">
        <f t="shared" si="1"/>
        <v>462</v>
      </c>
      <c r="H7" s="15">
        <f t="shared" si="2"/>
        <v>562</v>
      </c>
      <c r="I7" s="16">
        <f t="shared" si="3"/>
        <v>760</v>
      </c>
    </row>
    <row r="8">
      <c r="A8" s="7" t="s">
        <v>28</v>
      </c>
      <c r="B8" s="14">
        <f>ROUNDUP(Planilha3!D8/30,0)</f>
        <v>10</v>
      </c>
      <c r="C8" s="14">
        <v>5.0</v>
      </c>
      <c r="D8" s="14">
        <v>100.0</v>
      </c>
      <c r="E8" s="14">
        <v>15.0</v>
      </c>
      <c r="F8" s="14">
        <v>1.65</v>
      </c>
      <c r="G8" s="15">
        <f t="shared" si="1"/>
        <v>55</v>
      </c>
      <c r="H8" s="15">
        <f t="shared" si="2"/>
        <v>155</v>
      </c>
      <c r="I8" s="16">
        <f t="shared" si="3"/>
        <v>91</v>
      </c>
    </row>
    <row r="9">
      <c r="A9" s="7" t="s">
        <v>29</v>
      </c>
      <c r="B9" s="14">
        <f>ROUNDUP(Planilha3!D9/30,0)</f>
        <v>27</v>
      </c>
      <c r="C9" s="14">
        <v>5.0</v>
      </c>
      <c r="D9" s="14">
        <v>100.0</v>
      </c>
      <c r="E9" s="14">
        <v>15.0</v>
      </c>
      <c r="F9" s="14">
        <v>1.65</v>
      </c>
      <c r="G9" s="15">
        <f t="shared" si="1"/>
        <v>148.5</v>
      </c>
      <c r="H9" s="15">
        <f t="shared" si="2"/>
        <v>248.5</v>
      </c>
      <c r="I9" s="16">
        <f t="shared" si="3"/>
        <v>245</v>
      </c>
    </row>
    <row r="10">
      <c r="A10" s="7" t="s">
        <v>30</v>
      </c>
      <c r="B10" s="14">
        <f>ROUNDUP(Planilha3!D10/30,0)</f>
        <v>667</v>
      </c>
      <c r="C10" s="14">
        <v>5.0</v>
      </c>
      <c r="D10" s="14">
        <v>100.0</v>
      </c>
      <c r="E10" s="14">
        <v>15.0</v>
      </c>
      <c r="F10" s="14">
        <v>1.65</v>
      </c>
      <c r="G10" s="15">
        <f t="shared" si="1"/>
        <v>3668.5</v>
      </c>
      <c r="H10" s="15">
        <f t="shared" si="2"/>
        <v>3768.5</v>
      </c>
      <c r="I10" s="16">
        <f t="shared" si="3"/>
        <v>6028</v>
      </c>
    </row>
    <row r="11">
      <c r="A11" s="7" t="s">
        <v>31</v>
      </c>
      <c r="B11" s="14">
        <f>ROUNDUP(Planilha3!D11/30,0)</f>
        <v>4</v>
      </c>
      <c r="C11" s="14">
        <v>5.0</v>
      </c>
      <c r="D11" s="14">
        <v>100.0</v>
      </c>
      <c r="E11" s="14">
        <v>15.0</v>
      </c>
      <c r="F11" s="14">
        <v>1.65</v>
      </c>
      <c r="G11" s="15">
        <f t="shared" si="1"/>
        <v>22</v>
      </c>
      <c r="H11" s="15">
        <f t="shared" si="2"/>
        <v>122</v>
      </c>
      <c r="I11" s="16">
        <f t="shared" si="3"/>
        <v>37</v>
      </c>
    </row>
    <row r="12">
      <c r="A12" s="7" t="s">
        <v>32</v>
      </c>
      <c r="B12" s="14">
        <f>ROUNDUP(Planilha3!D12/30,0)</f>
        <v>20</v>
      </c>
      <c r="C12" s="14">
        <v>5.0</v>
      </c>
      <c r="D12" s="14">
        <v>100.0</v>
      </c>
      <c r="E12" s="14">
        <v>15.0</v>
      </c>
      <c r="F12" s="14">
        <v>1.65</v>
      </c>
      <c r="G12" s="15">
        <f t="shared" si="1"/>
        <v>110</v>
      </c>
      <c r="H12" s="15">
        <f t="shared" si="2"/>
        <v>210</v>
      </c>
      <c r="I12" s="16">
        <f t="shared" si="3"/>
        <v>181</v>
      </c>
    </row>
    <row r="13">
      <c r="A13" s="7" t="s">
        <v>33</v>
      </c>
      <c r="B13" s="14">
        <f>ROUNDUP(Planilha3!D13/30,0)</f>
        <v>400</v>
      </c>
      <c r="C13" s="14">
        <v>5.0</v>
      </c>
      <c r="D13" s="14">
        <v>100.0</v>
      </c>
      <c r="E13" s="14">
        <v>15.0</v>
      </c>
      <c r="F13" s="14">
        <v>1.65</v>
      </c>
      <c r="G13" s="15">
        <f t="shared" si="1"/>
        <v>2200</v>
      </c>
      <c r="H13" s="15">
        <f t="shared" si="2"/>
        <v>2300</v>
      </c>
      <c r="I13" s="16">
        <f t="shared" si="3"/>
        <v>3615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2026-05-09T16:43:25Z</dcterms:created>
  <dc:creator>Tarde Cetafaju</dc:creator>
</cp:coreProperties>
</file>